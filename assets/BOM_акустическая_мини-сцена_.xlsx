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Дарья\Downloads\"/>
    </mc:Choice>
  </mc:AlternateContent>
  <xr:revisionPtr revIDLastSave="0" documentId="8_{67A618F0-26A6-41F8-9EE5-A882AE038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  <sheet name="Примечан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K23" i="1"/>
  <c r="K22" i="1"/>
  <c r="J21" i="1"/>
  <c r="K21" i="1" s="1"/>
  <c r="J20" i="1"/>
  <c r="K20" i="1" s="1"/>
  <c r="K19" i="1"/>
  <c r="J19" i="1"/>
  <c r="J18" i="1"/>
  <c r="K18" i="1" s="1"/>
  <c r="J17" i="1"/>
  <c r="K17" i="1" s="1"/>
  <c r="J16" i="1"/>
  <c r="K16" i="1" s="1"/>
  <c r="K15" i="1"/>
  <c r="J15" i="1"/>
  <c r="J14" i="1"/>
  <c r="K14" i="1" s="1"/>
  <c r="J13" i="1"/>
  <c r="K13" i="1" s="1"/>
  <c r="J12" i="1"/>
  <c r="K12" i="1" s="1"/>
  <c r="K11" i="1"/>
  <c r="J11" i="1"/>
  <c r="J10" i="1"/>
  <c r="K10" i="1" s="1"/>
  <c r="J9" i="1"/>
  <c r="K9" i="1" s="1"/>
  <c r="J8" i="1"/>
  <c r="K8" i="1" s="1"/>
  <c r="K7" i="1"/>
  <c r="J7" i="1"/>
  <c r="K6" i="1"/>
  <c r="J6" i="1"/>
  <c r="K5" i="1"/>
  <c r="J5" i="1"/>
  <c r="O4" i="1"/>
  <c r="K4" i="1"/>
  <c r="J4" i="1"/>
  <c r="O3" i="1"/>
  <c r="K3" i="1"/>
  <c r="J3" i="1"/>
  <c r="K2" i="1"/>
  <c r="O6" i="1" s="1"/>
  <c r="J2" i="1"/>
</calcChain>
</file>

<file path=xl/sharedStrings.xml><?xml version="1.0" encoding="utf-8"?>
<sst xmlns="http://schemas.openxmlformats.org/spreadsheetml/2006/main" count="208" uniqueCount="139">
  <si>
    <t>Сводка закупки</t>
  </si>
  <si>
    <t>Показатель</t>
  </si>
  <si>
    <t>Значение</t>
  </si>
  <si>
    <t>Позиций всего</t>
  </si>
  <si>
    <t>К покупке / уточнению</t>
  </si>
  <si>
    <t>Итого, ₽</t>
  </si>
  <si>
    <t>BOM — текущая архитектура проекта</t>
  </si>
  <si>
    <t>Что включено</t>
  </si>
  <si>
    <t>Bluetooth-аудио, ESP32, стереоакустика, психоакустический/спектральный анализ, адресная RGB-подсветка, направленный RGB-свет, ультразвуковой туман.</t>
  </si>
  <si>
    <t>Корпус</t>
  </si>
  <si>
    <t>Детали корпуса моделируются командой и печатаются из PLA на 3D-принтере Физтех.Фабрики. PLA не требуется закупать.</t>
  </si>
  <si>
    <t>Не входит</t>
  </si>
  <si>
    <t>Лазерные модули, сервоприводы и воздушная помпа.</t>
  </si>
  <si>
    <t>Важно до закупки</t>
  </si>
  <si>
    <t>Выбрать конкретный атомайзер и мощные RGB LED: от их напряжения и тока зависит окончательная схема питания.</t>
  </si>
  <si>
    <t>Аудио</t>
  </si>
  <si>
    <t>В таблице заложено 2× MAX98357A для двух независимых каналов. При переходе на моно BOM можно сократить.</t>
  </si>
  <si>
    <t>Резерв</t>
  </si>
  <si>
    <t>INMP441 оставлен как необязательный резерв для аудиоанализа.</t>
  </si>
  <si>
    <t>Следующий шаг</t>
  </si>
  <si>
    <t>Заполнить столбцы «Цена», «Ссылка / поставщик» и «Статус» после проверки наличия конкретных компонентов.</t>
  </si>
  <si>
    <t>№</t>
  </si>
  <si>
    <t>Узел</t>
  </si>
  <si>
    <t>Компонент</t>
  </si>
  <si>
    <t>Рекомендуемая спецификация</t>
  </si>
  <si>
    <t>Зачем это нужно (простыми словами)</t>
  </si>
  <si>
    <t>Кол-во</t>
  </si>
  <si>
    <t>Источник</t>
  </si>
  <si>
    <t>Нужно купить?</t>
  </si>
  <si>
    <t>Статус</t>
  </si>
  <si>
    <t>Цена за шт., ₽</t>
  </si>
  <si>
    <t>Сумма, ₽</t>
  </si>
  <si>
    <t>Ссылка / поставщик</t>
  </si>
  <si>
    <t>Примечание</t>
  </si>
  <si>
    <t>Контроллер</t>
  </si>
  <si>
    <t>ESP32 DevKit</t>
  </si>
  <si>
    <t>ESP32-WROOM-32, 30 pin, Bluetooth Classic, I2S</t>
  </si>
  <si>
    <t>Главная «мозговая плата» устройства. Получает музыку по Bluetooth, анализирует её и управляет светом и туманом.</t>
  </si>
  <si>
    <t>Закупка</t>
  </si>
  <si>
    <t>Да</t>
  </si>
  <si>
    <t>Не проверено</t>
  </si>
  <si>
    <t>Основной контроллер и Bluetooth A2DP</t>
  </si>
  <si>
    <t>MAX98357A</t>
  </si>
  <si>
    <t>I2S, Class D, 3–5 В, моно</t>
  </si>
  <si>
    <t>Превращает цифровой звук от ESP32 в сигнал достаточной мощности для динамика. Нужны два — по одному на левый и правый канал.</t>
  </si>
  <si>
    <t>По одному модулю на левый и правый канал</t>
  </si>
  <si>
    <t>Динамик</t>
  </si>
  <si>
    <t>4 Ом, 3 Вт, широкополосный, одинаковая пара</t>
  </si>
  <si>
    <t>Воспроизводит музыку — это то, откуда непосредственно слышен звук.</t>
  </si>
  <si>
    <t>Габариты уточнить до финальной CAD-компоновки</t>
  </si>
  <si>
    <t>Основной свет</t>
  </si>
  <si>
    <t>WS2812B</t>
  </si>
  <si>
    <t>Адресная RGB-лента/матрица, 5 В</t>
  </si>
  <si>
    <t>Создаёт цветную подсветку сцены. Каждый светодиод управляется отдельно, поэтому свет может двигаться и реагировать на музыку.</t>
  </si>
  <si>
    <t>Длина/число светодиодов определяется после CAD</t>
  </si>
  <si>
    <t>Направленный свет</t>
  </si>
  <si>
    <t>Мощный RGB LED</t>
  </si>
  <si>
    <t>RGB, с подходящей линзой/оптикой</t>
  </si>
  <si>
    <t>Даёт яркий направленный цветной свет, чтобы подсвечивать сцену и особенно хорошо выделять туман.</t>
  </si>
  <si>
    <t>Для подсветки сцены и тумана</t>
  </si>
  <si>
    <t>Logic-level MOSFET</t>
  </si>
  <si>
    <t>Уверенное открытие от 3.3 В ESP32</t>
  </si>
  <si>
    <t>Электронный «выключатель» для мощных RGB-светодиодов. ESP32 не должна питать такой свет напрямую.</t>
  </si>
  <si>
    <t>По 3 канала RGB на каждый светильник</t>
  </si>
  <si>
    <t>Туман</t>
  </si>
  <si>
    <t>Ультразвуковой атомайзер</t>
  </si>
  <si>
    <t>Компактный модуль с драйвером; напряжение выбрать до закупки</t>
  </si>
  <si>
    <t>Создаёт холодный туман из воды с помощью ультразвука — основной физический спецэффект мини-сцены.</t>
  </si>
  <si>
    <t>Критичны габариты, уровень воды и требования к питанию</t>
  </si>
  <si>
    <t>Logic-level MOSFET / ключ</t>
  </si>
  <si>
    <t>Под ток и напряжение выбранного атомайзера</t>
  </si>
  <si>
    <t>Позволяет ESP32 безопасно включать и выключать генератор тумана, не пропуская большой ток через сам контроллер.</t>
  </si>
  <si>
    <t>Нужен только если модуль допускает внешнее коммутационное управление</t>
  </si>
  <si>
    <t>Питание</t>
  </si>
  <si>
    <t>Блок питания</t>
  </si>
  <si>
    <t>5 В, ориентировочно 5–6 А; уточнить после выбора света и атомайзера</t>
  </si>
  <si>
    <t>Питает всё устройство от розетки. Мощности должно хватать одновременно на контроллер, звук, свет и туман.</t>
  </si>
  <si>
    <t>Финальный ток рассчитывается после выбора конкретных компонентов</t>
  </si>
  <si>
    <t>Электролитический конденсатор</t>
  </si>
  <si>
    <t>≈1000 мкФ, не менее 6.3 В</t>
  </si>
  <si>
    <t>Сглаживает скачки напряжения при резком изменении нагрузки и помогает электронике работать стабильнее.</t>
  </si>
  <si>
    <t>Развязка/стабилизация питания</t>
  </si>
  <si>
    <t>Резистор DATA</t>
  </si>
  <si>
    <t>330–470 Ом</t>
  </si>
  <si>
    <t>Защищает линию управления адресными светодиодами от помех и резких электрических импульсов.</t>
  </si>
  <si>
    <t>Закупка/лаборатория</t>
  </si>
  <si>
    <t>Уточнить</t>
  </si>
  <si>
    <t>Последовательно в линию данных</t>
  </si>
  <si>
    <t>Ключи</t>
  </si>
  <si>
    <t>Резистор затвора</t>
  </si>
  <si>
    <t>100–330 Ом</t>
  </si>
  <si>
    <t>Ставится между ESP32 и MOSFET: ограничивает кратковременный ток при переключении электронного ключа.</t>
  </si>
  <si>
    <t>Количество уточняется по финальной схеме</t>
  </si>
  <si>
    <t>Pull-down резистор</t>
  </si>
  <si>
    <t>10 кОм</t>
  </si>
  <si>
    <t>Гарантирует, что MOSFET останется выключенным при запуске ESP32. Иначе свет или туман могут случайно включаться.</t>
  </si>
  <si>
    <t>Для гарантированного выключения MOSFET</t>
  </si>
  <si>
    <t>Управление</t>
  </si>
  <si>
    <t>Кнопка питания</t>
  </si>
  <si>
    <t>Панельная, под ток/схему питания устройства</t>
  </si>
  <si>
    <t>Позволяет включать и выключать всё устройство.</t>
  </si>
  <si>
    <t>Кнопка режима</t>
  </si>
  <si>
    <t>Тактовая или панельная</t>
  </si>
  <si>
    <t>Позволяет вручную переключать режим/эффект, что удобно во время демонстрации проекта.</t>
  </si>
  <si>
    <t>Для ручного переключения/демонстрации</t>
  </si>
  <si>
    <t>Монтаж</t>
  </si>
  <si>
    <t>Перфоплата / макетная плата</t>
  </si>
  <si>
    <t>Под финальную компоновку электроники</t>
  </si>
  <si>
    <t>Основа, на которой можно аккуратно закрепить и спаять электронику вместо временной макетной сборки.</t>
  </si>
  <si>
    <t>Провода</t>
  </si>
  <si>
    <t>Монтажные, несколько сечений</t>
  </si>
  <si>
    <t>Соединяют питание, платы, свет, динамики и остальные элементы между собой.</t>
  </si>
  <si>
    <t>Силовые линии делать проводом подходящего сечения</t>
  </si>
  <si>
    <t>Разъёмы JST / аналоги</t>
  </si>
  <si>
    <t>2/3/4 pin, комплект</t>
  </si>
  <si>
    <t>Делают соединения разъёмными: можно снять крышку или заменить компонент, не отпаивая провода.</t>
  </si>
  <si>
    <t>Для разборной аккуратной сборки</t>
  </si>
  <si>
    <t>Термоусадка</t>
  </si>
  <si>
    <t>Набор диаметров</t>
  </si>
  <si>
    <t>Изолирует места пайки и оголённые контакты, чтобы избежать короткого замыкания и сделать сборку аккуратнее.</t>
  </si>
  <si>
    <t>Есть</t>
  </si>
  <si>
    <t>Крепёж</t>
  </si>
  <si>
    <t>Винты, гайки, стойки</t>
  </si>
  <si>
    <t>M2/M3, по CAD</t>
  </si>
  <si>
    <t>Физически крепят платы, динамики и другие детали к корпусу.</t>
  </si>
  <si>
    <t>Фабрика/закупка</t>
  </si>
  <si>
    <t>Точный набор после проектирования корпуса</t>
  </si>
  <si>
    <t>3D-печать корпуса</t>
  </si>
  <si>
    <t>CAD-модель + FDM-печать</t>
  </si>
  <si>
    <t>Пластик для печати деталей корпуса на 3D-принтере. Покупать не нужно — PLA будет на Физтех.Фабрике.</t>
  </si>
  <si>
    <t>Физтех.Фабрика</t>
  </si>
  <si>
    <t>Нет</t>
  </si>
  <si>
    <t>Не включать в закупку как отдельный материал</t>
  </si>
  <si>
    <t>INMP441</t>
  </si>
  <si>
    <t>I2S MEMS-микрофон, 3.3 В</t>
  </si>
  <si>
    <t>Изготовление деталей корпуса по вашей CAD-модели на 3D-принтере Физтех.Фабрики.</t>
  </si>
  <si>
    <t>Опционально</t>
  </si>
  <si>
    <t>Резервный путь аудиоанализа, если анализ A2DP-потока окажется сложным</t>
  </si>
  <si>
    <t>Запасной способ получать звук для анализа. Понадобится только если анализ Bluetooth-аудиопотока напрямую окажется слишком сложным.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</si>
</sst>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₽&quot;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3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164" fontId="0" fillId="0" borderId="0" xfId="1" applyNumberFormat="1" applyFont="1"/>
    <xf numFmtId="0" fontId="2" fillId="3" borderId="0" xfId="1" applyFont="1" applyFill="1" applyAlignment="1">
      <alignment vertical="top" wrapText="1"/>
    </xf>
    <xf numFmtId="0" fontId="1" fillId="5" borderId="0" xfId="0" applyNumberFormat="1" applyFont="1" applyFill="1" applyBorder="1" applyAlignment="1">
      <alignment horizontal="center" vertical="top" wrapText="1"/>
    </xf>
    <xf numFmtId="0" fontId="0" fillId="4" borderId="1" xfId="0" applyNumberFormat="1" applyFont="1" applyFill="1" applyBorder="1" applyAlignment="1">
      <alignment vertical="top" wrapText="1"/>
    </xf>
    <xf numFmtId="0" fontId="0" fillId="4" borderId="2" xfId="0" applyNumberFormat="1" applyFont="1" applyFill="1" applyBorder="1" applyAlignment="1">
      <alignment vertical="top" wrapText="1"/>
    </xf>
    <xf numFmtId="0" fontId="0" fillId="4" borderId="2" xfId="0" applyNumberFormat="1" applyFont="1" applyFill="1" applyBorder="1" applyAlignment="1">
      <alignment horizontal="center" vertical="top" wrapText="1"/>
    </xf>
    <xf numFmtId="0" fontId="0" fillId="4" borderId="3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164" fontId="0" fillId="4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0" fontId="0" fillId="4" borderId="4" xfId="0" applyNumberFormat="1" applyFont="1" applyFill="1" applyBorder="1" applyAlignment="1">
      <alignment vertical="top" wrapText="1"/>
    </xf>
    <xf numFmtId="0" fontId="0" fillId="4" borderId="5" xfId="0" applyNumberFormat="1" applyFont="1" applyFill="1" applyBorder="1" applyAlignment="1">
      <alignment vertical="top" wrapText="1"/>
    </xf>
    <xf numFmtId="0" fontId="0" fillId="4" borderId="5" xfId="0" applyNumberFormat="1" applyFont="1" applyFill="1" applyBorder="1" applyAlignment="1">
      <alignment horizontal="center" vertical="top" wrapText="1"/>
    </xf>
    <xf numFmtId="0" fontId="0" fillId="4" borderId="6" xfId="0" applyNumberFormat="1" applyFont="1" applyFill="1" applyBorder="1" applyAlignment="1">
      <alignment vertical="top" wrapText="1"/>
    </xf>
    <xf numFmtId="0" fontId="0" fillId="4" borderId="7" xfId="0" applyNumberFormat="1" applyFont="1" applyFill="1" applyBorder="1" applyAlignment="1">
      <alignment vertical="top" wrapText="1"/>
    </xf>
    <xf numFmtId="0" fontId="0" fillId="4" borderId="8" xfId="0" applyNumberFormat="1" applyFont="1" applyFill="1" applyBorder="1" applyAlignment="1">
      <alignment vertical="top" wrapText="1"/>
    </xf>
    <xf numFmtId="0" fontId="0" fillId="4" borderId="8" xfId="0" applyNumberFormat="1" applyFont="1" applyFill="1" applyBorder="1" applyAlignment="1">
      <alignment horizontal="center" vertical="top" wrapText="1"/>
    </xf>
    <xf numFmtId="0" fontId="0" fillId="4" borderId="9" xfId="0" applyNumberFormat="1" applyFont="1" applyFill="1" applyBorder="1" applyAlignment="1">
      <alignment vertical="top" wrapText="1"/>
    </xf>
    <xf numFmtId="0" fontId="0" fillId="4" borderId="1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horizontal="center" vertical="top" wrapText="1"/>
    </xf>
    <xf numFmtId="0" fontId="0" fillId="4" borderId="11" xfId="0" applyNumberFormat="1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6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:M24" totalsRowShown="0">
  <tableColumns count="13">
    <tableColumn id="1" xr3:uid="{00000000-0010-0000-0000-000001000000}" name="№"/>
    <tableColumn id="2" xr3:uid="{00000000-0010-0000-0000-000002000000}" name="Узел"/>
    <tableColumn id="3" xr3:uid="{00000000-0010-0000-0000-000003000000}" name="Компонент"/>
    <tableColumn id="4" xr3:uid="{00000000-0010-0000-0000-000004000000}" name="Рекомендуемая спецификация"/>
    <tableColumn id="5" xr3:uid="{00000000-0010-0000-0000-000005000000}" name="Зачем это нужно (простыми словами)"/>
    <tableColumn id="6" xr3:uid="{00000000-0010-0000-0000-000006000000}" name="Кол-во"/>
    <tableColumn id="7" xr3:uid="{00000000-0010-0000-0000-000007000000}" name="Источник"/>
    <tableColumn id="8" xr3:uid="{00000000-0010-0000-0000-000008000000}" name="Нужно купить?"/>
    <tableColumn id="9" xr3:uid="{00000000-0010-0000-0000-000009000000}" name="Статус"/>
    <tableColumn id="10" xr3:uid="{00000000-0010-0000-0000-00000A000000}" name="Цена за шт., ₽"/>
    <tableColumn id="11" xr3:uid="{00000000-0010-0000-0000-00000B000000}" name="Сумма, ₽"/>
    <tableColumn id="12" xr3:uid="{00000000-0010-0000-0000-00000C000000}" name="Ссылка / поставщик"/>
    <tableColumn id="13" xr3:uid="{00000000-0010-0000-0000-00000D000000}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68" zoomScaleNormal="68" workbookViewId="0">
      <selection activeCell="J2" sqref="J2"/>
    </sheetView>
  </sheetViews>
  <sheetFormatPr defaultRowHeight="13.8"/>
  <cols>
    <col min="1" max="1" width="5" customWidth="1"/>
    <col min="2" max="2" width="18" customWidth="1"/>
    <col min="3" max="3" width="24" customWidth="1"/>
    <col min="4" max="4" width="38" customWidth="1"/>
    <col min="5" max="5" width="42" customWidth="1"/>
    <col min="6" max="6" width="9" customWidth="1"/>
    <col min="7" max="7" width="20" customWidth="1"/>
    <col min="8" max="8" width="14" customWidth="1"/>
    <col min="9" max="9" width="18" customWidth="1"/>
    <col min="10" max="11" width="13" customWidth="1"/>
    <col min="12" max="12" width="30" customWidth="1"/>
    <col min="13" max="13" width="40" customWidth="1"/>
    <col min="14" max="14" width="23" customWidth="1"/>
    <col min="15" max="15" width="16" customWidth="1"/>
  </cols>
  <sheetData>
    <row r="1" spans="1:15" ht="27.6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24" t="s">
        <v>0</v>
      </c>
      <c r="O1" s="24"/>
    </row>
    <row r="2" spans="1:15" ht="41.4">
      <c r="A2" s="6">
        <v>1</v>
      </c>
      <c r="B2" s="7" t="s">
        <v>34</v>
      </c>
      <c r="C2" s="7" t="s">
        <v>35</v>
      </c>
      <c r="D2" s="7" t="s">
        <v>36</v>
      </c>
      <c r="E2" s="8" t="s">
        <v>37</v>
      </c>
      <c r="F2" s="8">
        <v>1</v>
      </c>
      <c r="G2" s="9" t="s">
        <v>38</v>
      </c>
      <c r="H2" s="10" t="s">
        <v>39</v>
      </c>
      <c r="I2" s="11" t="s">
        <v>40</v>
      </c>
      <c r="J2" s="11" t="e">
        <f t="shared" ref="J2:J21" si="0">IF(OR(E2="",I2=""),"",E2*I2)</f>
        <v>#VALUE!</v>
      </c>
      <c r="K2" s="11" t="e">
        <f t="shared" ref="K2:K24" si="1">IF(OR(F2="",J2=""),"",F2*J2)</f>
        <v>#VALUE!</v>
      </c>
      <c r="L2" s="12"/>
      <c r="M2" s="10" t="s">
        <v>41</v>
      </c>
      <c r="N2" s="1" t="s">
        <v>1</v>
      </c>
      <c r="O2" s="1" t="s">
        <v>2</v>
      </c>
    </row>
    <row r="3" spans="1:15" ht="41.4">
      <c r="A3" s="13">
        <v>2</v>
      </c>
      <c r="B3" s="14" t="s">
        <v>15</v>
      </c>
      <c r="C3" s="14" t="s">
        <v>42</v>
      </c>
      <c r="D3" s="14" t="s">
        <v>43</v>
      </c>
      <c r="E3" s="15" t="s">
        <v>44</v>
      </c>
      <c r="F3" s="15">
        <v>2</v>
      </c>
      <c r="G3" s="16" t="s">
        <v>38</v>
      </c>
      <c r="H3" s="10" t="s">
        <v>39</v>
      </c>
      <c r="I3" s="11" t="s">
        <v>40</v>
      </c>
      <c r="J3" s="11" t="e">
        <f t="shared" si="0"/>
        <v>#VALUE!</v>
      </c>
      <c r="K3" s="11" t="e">
        <f t="shared" si="1"/>
        <v>#VALUE!</v>
      </c>
      <c r="L3" s="12"/>
      <c r="M3" s="10" t="s">
        <v>45</v>
      </c>
      <c r="N3" t="s">
        <v>3</v>
      </c>
      <c r="O3">
        <f>COUNTA(A2:A23)</f>
        <v>22</v>
      </c>
    </row>
    <row r="4" spans="1:15" ht="27.6">
      <c r="A4" s="17">
        <v>3</v>
      </c>
      <c r="B4" s="18" t="s">
        <v>15</v>
      </c>
      <c r="C4" s="18" t="s">
        <v>46</v>
      </c>
      <c r="D4" s="18" t="s">
        <v>47</v>
      </c>
      <c r="E4" s="19" t="s">
        <v>48</v>
      </c>
      <c r="F4" s="19">
        <v>2</v>
      </c>
      <c r="G4" s="20" t="s">
        <v>38</v>
      </c>
      <c r="H4" s="10" t="s">
        <v>39</v>
      </c>
      <c r="I4" s="11" t="s">
        <v>40</v>
      </c>
      <c r="J4" s="11" t="e">
        <f t="shared" si="0"/>
        <v>#VALUE!</v>
      </c>
      <c r="K4" s="11" t="e">
        <f t="shared" si="1"/>
        <v>#VALUE!</v>
      </c>
      <c r="L4" s="12"/>
      <c r="M4" s="10" t="s">
        <v>49</v>
      </c>
      <c r="N4" t="s">
        <v>4</v>
      </c>
      <c r="O4">
        <f>COUNTIF(G2:G23,"Да")+COUNTIF(G2:G23,"Уточнить")</f>
        <v>0</v>
      </c>
    </row>
    <row r="5" spans="1:15" ht="41.4">
      <c r="A5" s="6">
        <v>4</v>
      </c>
      <c r="B5" s="7" t="s">
        <v>50</v>
      </c>
      <c r="C5" s="7" t="s">
        <v>51</v>
      </c>
      <c r="D5" s="7" t="s">
        <v>52</v>
      </c>
      <c r="E5" s="8" t="s">
        <v>53</v>
      </c>
      <c r="F5" s="8">
        <v>1</v>
      </c>
      <c r="G5" s="9" t="s">
        <v>38</v>
      </c>
      <c r="H5" s="10" t="s">
        <v>39</v>
      </c>
      <c r="I5" s="11" t="s">
        <v>40</v>
      </c>
      <c r="J5" s="11" t="e">
        <f t="shared" si="0"/>
        <v>#VALUE!</v>
      </c>
      <c r="K5" s="11" t="e">
        <f t="shared" si="1"/>
        <v>#VALUE!</v>
      </c>
      <c r="L5" s="12"/>
      <c r="M5" s="10" t="s">
        <v>54</v>
      </c>
    </row>
    <row r="6" spans="1:15" ht="41.4">
      <c r="A6" s="13">
        <v>5</v>
      </c>
      <c r="B6" s="14" t="s">
        <v>55</v>
      </c>
      <c r="C6" s="14" t="s">
        <v>56</v>
      </c>
      <c r="D6" s="14" t="s">
        <v>57</v>
      </c>
      <c r="E6" s="15" t="s">
        <v>58</v>
      </c>
      <c r="F6" s="15">
        <v>2</v>
      </c>
      <c r="G6" s="16" t="s">
        <v>38</v>
      </c>
      <c r="H6" s="10" t="s">
        <v>39</v>
      </c>
      <c r="I6" s="11" t="s">
        <v>40</v>
      </c>
      <c r="J6" s="11" t="e">
        <f t="shared" si="0"/>
        <v>#VALUE!</v>
      </c>
      <c r="K6" s="11" t="e">
        <f t="shared" si="1"/>
        <v>#VALUE!</v>
      </c>
      <c r="L6" s="12"/>
      <c r="M6" s="10" t="s">
        <v>59</v>
      </c>
      <c r="N6" t="s">
        <v>5</v>
      </c>
      <c r="O6" s="3" t="e">
        <f>SUM(K2:K24)</f>
        <v>#VALUE!</v>
      </c>
    </row>
    <row r="7" spans="1:15" ht="41.4">
      <c r="A7" s="17">
        <v>6</v>
      </c>
      <c r="B7" s="18" t="s">
        <v>55</v>
      </c>
      <c r="C7" s="18" t="s">
        <v>60</v>
      </c>
      <c r="D7" s="18" t="s">
        <v>61</v>
      </c>
      <c r="E7" s="19" t="s">
        <v>62</v>
      </c>
      <c r="F7" s="19">
        <v>6</v>
      </c>
      <c r="G7" s="20" t="s">
        <v>38</v>
      </c>
      <c r="H7" s="10" t="s">
        <v>39</v>
      </c>
      <c r="I7" s="11" t="s">
        <v>40</v>
      </c>
      <c r="J7" s="11" t="e">
        <f t="shared" si="0"/>
        <v>#VALUE!</v>
      </c>
      <c r="K7" s="11" t="e">
        <f t="shared" si="1"/>
        <v>#VALUE!</v>
      </c>
      <c r="L7" s="12"/>
      <c r="M7" s="10" t="s">
        <v>63</v>
      </c>
    </row>
    <row r="8" spans="1:15" ht="41.4">
      <c r="A8" s="13">
        <v>7</v>
      </c>
      <c r="B8" s="14" t="s">
        <v>64</v>
      </c>
      <c r="C8" s="14" t="s">
        <v>65</v>
      </c>
      <c r="D8" s="14" t="s">
        <v>66</v>
      </c>
      <c r="E8" s="15" t="s">
        <v>67</v>
      </c>
      <c r="F8" s="15">
        <v>1</v>
      </c>
      <c r="G8" s="16" t="s">
        <v>38</v>
      </c>
      <c r="H8" s="10" t="s">
        <v>39</v>
      </c>
      <c r="I8" s="11" t="s">
        <v>40</v>
      </c>
      <c r="J8" s="11" t="e">
        <f t="shared" si="0"/>
        <v>#VALUE!</v>
      </c>
      <c r="K8" s="11" t="e">
        <f t="shared" si="1"/>
        <v>#VALUE!</v>
      </c>
      <c r="L8" s="12"/>
      <c r="M8" s="10" t="s">
        <v>68</v>
      </c>
    </row>
    <row r="9" spans="1:15" ht="41.4">
      <c r="A9" s="17">
        <v>8</v>
      </c>
      <c r="B9" s="18" t="s">
        <v>64</v>
      </c>
      <c r="C9" s="18" t="s">
        <v>69</v>
      </c>
      <c r="D9" s="18" t="s">
        <v>70</v>
      </c>
      <c r="E9" s="19" t="s">
        <v>71</v>
      </c>
      <c r="F9" s="19">
        <v>1</v>
      </c>
      <c r="G9" s="20" t="s">
        <v>38</v>
      </c>
      <c r="H9" s="10" t="s">
        <v>39</v>
      </c>
      <c r="I9" s="11" t="s">
        <v>40</v>
      </c>
      <c r="J9" s="11" t="e">
        <f t="shared" si="0"/>
        <v>#VALUE!</v>
      </c>
      <c r="K9" s="11" t="e">
        <f t="shared" si="1"/>
        <v>#VALUE!</v>
      </c>
      <c r="L9" s="12"/>
      <c r="M9" s="10" t="s">
        <v>72</v>
      </c>
    </row>
    <row r="10" spans="1:15" ht="41.4">
      <c r="A10" s="13">
        <v>9</v>
      </c>
      <c r="B10" s="14" t="s">
        <v>73</v>
      </c>
      <c r="C10" s="14" t="s">
        <v>74</v>
      </c>
      <c r="D10" s="14" t="s">
        <v>75</v>
      </c>
      <c r="E10" s="15" t="s">
        <v>76</v>
      </c>
      <c r="F10" s="15">
        <v>1</v>
      </c>
      <c r="G10" s="16" t="s">
        <v>38</v>
      </c>
      <c r="H10" s="10" t="s">
        <v>39</v>
      </c>
      <c r="I10" s="11" t="s">
        <v>40</v>
      </c>
      <c r="J10" s="11" t="e">
        <f t="shared" si="0"/>
        <v>#VALUE!</v>
      </c>
      <c r="K10" s="11" t="e">
        <f t="shared" si="1"/>
        <v>#VALUE!</v>
      </c>
      <c r="L10" s="12"/>
      <c r="M10" s="10" t="s">
        <v>77</v>
      </c>
    </row>
    <row r="11" spans="1:15" ht="41.4">
      <c r="A11" s="17">
        <v>10</v>
      </c>
      <c r="B11" s="18" t="s">
        <v>73</v>
      </c>
      <c r="C11" s="18" t="s">
        <v>78</v>
      </c>
      <c r="D11" s="18" t="s">
        <v>79</v>
      </c>
      <c r="E11" s="19" t="s">
        <v>80</v>
      </c>
      <c r="F11" s="19">
        <v>2</v>
      </c>
      <c r="G11" s="20" t="s">
        <v>38</v>
      </c>
      <c r="H11" s="10" t="s">
        <v>39</v>
      </c>
      <c r="I11" s="11" t="s">
        <v>40</v>
      </c>
      <c r="J11" s="11" t="e">
        <f t="shared" si="0"/>
        <v>#VALUE!</v>
      </c>
      <c r="K11" s="11" t="e">
        <f t="shared" si="1"/>
        <v>#VALUE!</v>
      </c>
      <c r="L11" s="12"/>
      <c r="M11" s="10" t="s">
        <v>81</v>
      </c>
    </row>
    <row r="12" spans="1:15" ht="41.4">
      <c r="A12" s="6">
        <v>11</v>
      </c>
      <c r="B12" s="7" t="s">
        <v>51</v>
      </c>
      <c r="C12" s="7" t="s">
        <v>82</v>
      </c>
      <c r="D12" s="7" t="s">
        <v>83</v>
      </c>
      <c r="E12" s="8" t="s">
        <v>84</v>
      </c>
      <c r="F12" s="8">
        <v>1</v>
      </c>
      <c r="G12" s="9" t="s">
        <v>85</v>
      </c>
      <c r="H12" s="10" t="s">
        <v>86</v>
      </c>
      <c r="I12" s="11" t="s">
        <v>40</v>
      </c>
      <c r="J12" s="11" t="e">
        <f t="shared" si="0"/>
        <v>#VALUE!</v>
      </c>
      <c r="K12" s="11" t="e">
        <f t="shared" si="1"/>
        <v>#VALUE!</v>
      </c>
      <c r="L12" s="12"/>
      <c r="M12" s="10" t="s">
        <v>87</v>
      </c>
    </row>
    <row r="13" spans="1:15" ht="41.4">
      <c r="A13" s="13">
        <v>12</v>
      </c>
      <c r="B13" s="14" t="s">
        <v>88</v>
      </c>
      <c r="C13" s="14" t="s">
        <v>89</v>
      </c>
      <c r="D13" s="14" t="s">
        <v>90</v>
      </c>
      <c r="E13" s="15" t="s">
        <v>91</v>
      </c>
      <c r="F13" s="15">
        <v>7</v>
      </c>
      <c r="G13" s="16" t="s">
        <v>85</v>
      </c>
      <c r="H13" s="10" t="s">
        <v>86</v>
      </c>
      <c r="I13" s="11" t="s">
        <v>40</v>
      </c>
      <c r="J13" s="11" t="e">
        <f t="shared" si="0"/>
        <v>#VALUE!</v>
      </c>
      <c r="K13" s="11" t="e">
        <f t="shared" si="1"/>
        <v>#VALUE!</v>
      </c>
      <c r="L13" s="12"/>
      <c r="M13" s="10" t="s">
        <v>92</v>
      </c>
    </row>
    <row r="14" spans="1:15" ht="41.4">
      <c r="A14" s="17">
        <v>13</v>
      </c>
      <c r="B14" s="18" t="s">
        <v>88</v>
      </c>
      <c r="C14" s="18" t="s">
        <v>93</v>
      </c>
      <c r="D14" s="18" t="s">
        <v>94</v>
      </c>
      <c r="E14" s="19" t="s">
        <v>95</v>
      </c>
      <c r="F14" s="19">
        <v>7</v>
      </c>
      <c r="G14" s="20" t="s">
        <v>85</v>
      </c>
      <c r="H14" s="10" t="s">
        <v>86</v>
      </c>
      <c r="I14" s="11" t="s">
        <v>40</v>
      </c>
      <c r="J14" s="11" t="e">
        <f t="shared" si="0"/>
        <v>#VALUE!</v>
      </c>
      <c r="K14" s="11" t="e">
        <f t="shared" si="1"/>
        <v>#VALUE!</v>
      </c>
      <c r="L14" s="12"/>
      <c r="M14" s="10" t="s">
        <v>96</v>
      </c>
    </row>
    <row r="15" spans="1:15" ht="27.6">
      <c r="A15" s="13">
        <v>14</v>
      </c>
      <c r="B15" s="14" t="s">
        <v>97</v>
      </c>
      <c r="C15" s="14" t="s">
        <v>98</v>
      </c>
      <c r="D15" s="14" t="s">
        <v>99</v>
      </c>
      <c r="E15" s="15" t="s">
        <v>100</v>
      </c>
      <c r="F15" s="15">
        <v>1</v>
      </c>
      <c r="G15" s="16" t="s">
        <v>38</v>
      </c>
      <c r="H15" s="10" t="s">
        <v>39</v>
      </c>
      <c r="I15" s="11" t="s">
        <v>40</v>
      </c>
      <c r="J15" s="11" t="e">
        <f t="shared" si="0"/>
        <v>#VALUE!</v>
      </c>
      <c r="K15" s="11" t="e">
        <f t="shared" si="1"/>
        <v>#VALUE!</v>
      </c>
      <c r="L15" s="12"/>
      <c r="M15" s="10"/>
    </row>
    <row r="16" spans="1:15" ht="41.4">
      <c r="A16" s="17">
        <v>15</v>
      </c>
      <c r="B16" s="18" t="s">
        <v>97</v>
      </c>
      <c r="C16" s="18" t="s">
        <v>101</v>
      </c>
      <c r="D16" s="18" t="s">
        <v>102</v>
      </c>
      <c r="E16" s="19" t="s">
        <v>103</v>
      </c>
      <c r="F16" s="19">
        <v>1</v>
      </c>
      <c r="G16" s="20" t="s">
        <v>85</v>
      </c>
      <c r="H16" s="10" t="s">
        <v>86</v>
      </c>
      <c r="I16" s="11" t="s">
        <v>40</v>
      </c>
      <c r="J16" s="11" t="e">
        <f t="shared" si="0"/>
        <v>#VALUE!</v>
      </c>
      <c r="K16" s="11" t="e">
        <f t="shared" si="1"/>
        <v>#VALUE!</v>
      </c>
      <c r="L16" s="12"/>
      <c r="M16" s="10" t="s">
        <v>104</v>
      </c>
    </row>
    <row r="17" spans="1:13" ht="41.4">
      <c r="A17" s="13">
        <v>16</v>
      </c>
      <c r="B17" s="14" t="s">
        <v>105</v>
      </c>
      <c r="C17" s="14" t="s">
        <v>106</v>
      </c>
      <c r="D17" s="14" t="s">
        <v>107</v>
      </c>
      <c r="E17" s="15" t="s">
        <v>108</v>
      </c>
      <c r="F17" s="15">
        <v>1</v>
      </c>
      <c r="G17" s="16" t="s">
        <v>85</v>
      </c>
      <c r="H17" s="10" t="s">
        <v>86</v>
      </c>
      <c r="I17" s="11" t="s">
        <v>40</v>
      </c>
      <c r="J17" s="11" t="e">
        <f t="shared" si="0"/>
        <v>#VALUE!</v>
      </c>
      <c r="K17" s="11" t="e">
        <f t="shared" si="1"/>
        <v>#VALUE!</v>
      </c>
      <c r="L17" s="12"/>
      <c r="M17" s="10"/>
    </row>
    <row r="18" spans="1:13" ht="27.6">
      <c r="A18" s="21">
        <v>17</v>
      </c>
      <c r="B18" s="12" t="s">
        <v>105</v>
      </c>
      <c r="C18" s="12" t="s">
        <v>109</v>
      </c>
      <c r="D18" s="12" t="s">
        <v>110</v>
      </c>
      <c r="E18" s="22" t="s">
        <v>111</v>
      </c>
      <c r="F18" s="22">
        <v>1</v>
      </c>
      <c r="G18" s="23" t="s">
        <v>85</v>
      </c>
      <c r="H18" s="10" t="s">
        <v>86</v>
      </c>
      <c r="I18" s="11" t="s">
        <v>40</v>
      </c>
      <c r="J18" s="11" t="e">
        <f t="shared" si="0"/>
        <v>#VALUE!</v>
      </c>
      <c r="K18" s="11" t="e">
        <f t="shared" si="1"/>
        <v>#VALUE!</v>
      </c>
      <c r="L18" s="12"/>
      <c r="M18" s="10" t="s">
        <v>112</v>
      </c>
    </row>
    <row r="19" spans="1:13" ht="41.4">
      <c r="A19" s="21">
        <v>18</v>
      </c>
      <c r="B19" s="12" t="s">
        <v>105</v>
      </c>
      <c r="C19" s="12" t="s">
        <v>113</v>
      </c>
      <c r="D19" s="12" t="s">
        <v>114</v>
      </c>
      <c r="E19" s="22" t="s">
        <v>115</v>
      </c>
      <c r="F19" s="22">
        <v>1</v>
      </c>
      <c r="G19" s="23" t="s">
        <v>85</v>
      </c>
      <c r="H19" s="10" t="s">
        <v>86</v>
      </c>
      <c r="I19" s="11" t="s">
        <v>40</v>
      </c>
      <c r="J19" s="11" t="e">
        <f t="shared" si="0"/>
        <v>#VALUE!</v>
      </c>
      <c r="K19" s="11" t="e">
        <f t="shared" si="1"/>
        <v>#VALUE!</v>
      </c>
      <c r="L19" s="12"/>
      <c r="M19" s="10" t="s">
        <v>116</v>
      </c>
    </row>
    <row r="20" spans="1:13" ht="41.4">
      <c r="A20" s="17">
        <v>19</v>
      </c>
      <c r="B20" s="18" t="s">
        <v>105</v>
      </c>
      <c r="C20" s="18" t="s">
        <v>117</v>
      </c>
      <c r="D20" s="18" t="s">
        <v>118</v>
      </c>
      <c r="E20" s="19" t="s">
        <v>119</v>
      </c>
      <c r="F20" s="19">
        <v>1</v>
      </c>
      <c r="G20" s="20" t="s">
        <v>85</v>
      </c>
      <c r="H20" s="10" t="s">
        <v>86</v>
      </c>
      <c r="I20" s="11" t="s">
        <v>120</v>
      </c>
      <c r="J20" s="11" t="e">
        <f t="shared" si="0"/>
        <v>#VALUE!</v>
      </c>
      <c r="K20" s="11" t="e">
        <f t="shared" si="1"/>
        <v>#VALUE!</v>
      </c>
      <c r="L20" s="12"/>
      <c r="M20" s="10"/>
    </row>
    <row r="21" spans="1:13" ht="27.6">
      <c r="A21" s="6">
        <v>20</v>
      </c>
      <c r="B21" s="7" t="s">
        <v>121</v>
      </c>
      <c r="C21" s="7" t="s">
        <v>122</v>
      </c>
      <c r="D21" s="7" t="s">
        <v>123</v>
      </c>
      <c r="E21" s="8" t="s">
        <v>124</v>
      </c>
      <c r="F21" s="8">
        <v>1</v>
      </c>
      <c r="G21" s="9" t="s">
        <v>125</v>
      </c>
      <c r="H21" s="10" t="s">
        <v>86</v>
      </c>
      <c r="I21" s="11" t="s">
        <v>40</v>
      </c>
      <c r="J21" s="11" t="e">
        <f t="shared" si="0"/>
        <v>#VALUE!</v>
      </c>
      <c r="K21" s="11" t="e">
        <f t="shared" si="1"/>
        <v>#VALUE!</v>
      </c>
      <c r="L21" s="12"/>
      <c r="M21" s="10" t="s">
        <v>126</v>
      </c>
    </row>
    <row r="22" spans="1:13" ht="41.4">
      <c r="A22" s="6">
        <v>21</v>
      </c>
      <c r="B22" s="7" t="s">
        <v>9</v>
      </c>
      <c r="C22" s="7" t="s">
        <v>127</v>
      </c>
      <c r="D22" s="7" t="s">
        <v>128</v>
      </c>
      <c r="E22" s="8" t="s">
        <v>129</v>
      </c>
      <c r="F22" s="8">
        <v>1</v>
      </c>
      <c r="G22" s="9" t="s">
        <v>130</v>
      </c>
      <c r="H22" s="10" t="s">
        <v>131</v>
      </c>
      <c r="I22" s="11" t="s">
        <v>120</v>
      </c>
      <c r="J22" s="11"/>
      <c r="K22" s="11" t="str">
        <f t="shared" si="1"/>
        <v/>
      </c>
      <c r="L22" s="12"/>
      <c r="M22" s="10" t="s">
        <v>132</v>
      </c>
    </row>
    <row r="23" spans="1:13" ht="27.6">
      <c r="A23" s="6">
        <v>22</v>
      </c>
      <c r="B23" s="7" t="s">
        <v>17</v>
      </c>
      <c r="C23" s="7" t="s">
        <v>133</v>
      </c>
      <c r="D23" s="7" t="s">
        <v>134</v>
      </c>
      <c r="E23" s="8" t="s">
        <v>135</v>
      </c>
      <c r="F23" s="8">
        <v>1</v>
      </c>
      <c r="G23" s="9" t="s">
        <v>136</v>
      </c>
      <c r="H23" s="10" t="s">
        <v>131</v>
      </c>
      <c r="I23" s="11" t="s">
        <v>17</v>
      </c>
      <c r="J23" s="11"/>
      <c r="K23" s="11" t="str">
        <f t="shared" si="1"/>
        <v/>
      </c>
      <c r="L23" s="12"/>
      <c r="M23" s="10" t="s">
        <v>137</v>
      </c>
    </row>
    <row r="24" spans="1:13" ht="55.2">
      <c r="A24" s="12"/>
      <c r="B24" s="12"/>
      <c r="C24" s="12"/>
      <c r="D24" s="12"/>
      <c r="E24" s="12" t="s">
        <v>138</v>
      </c>
      <c r="F24" s="12"/>
      <c r="G24" s="12"/>
      <c r="H24" s="12"/>
      <c r="I24" s="12"/>
      <c r="J24" s="11"/>
      <c r="K24" s="11" t="str">
        <f t="shared" si="1"/>
        <v/>
      </c>
      <c r="L24" s="12"/>
      <c r="M24" s="10"/>
    </row>
  </sheetData>
  <mergeCells count="1">
    <mergeCell ref="N1:O1"/>
  </mergeCells>
  <conditionalFormatting sqref="H2:H23">
    <cfRule type="expression" dxfId="5" priority="1">
      <formula>OR(H2="Есть",H2="Куплено",H2="Есть на фабрике",H2="Доступно на фабрике")</formula>
    </cfRule>
    <cfRule type="expression" dxfId="4" priority="2">
      <formula>H2="Нет в наличии"</formula>
    </cfRule>
    <cfRule type="expression" dxfId="3" priority="3">
      <formula>H2="Не проверено"</formula>
    </cfRule>
  </conditionalFormatting>
  <conditionalFormatting sqref="I2:I24">
    <cfRule type="expression" dxfId="2" priority="4">
      <formula>OR(I2="Есть",I2="Куплено",I2="Есть на фабрике",I2="Доступно на фабрике")</formula>
    </cfRule>
    <cfRule type="expression" dxfId="1" priority="5">
      <formula>I2="Нет в наличии"</formula>
    </cfRule>
    <cfRule type="expression" dxfId="0" priority="6">
      <formula>I2="Не проверено"</formula>
    </cfRule>
  </conditionalFormatting>
  <dataValidations count="2">
    <dataValidation type="list" sqref="G2:G23 H2:H24" xr:uid="{00000000-0002-0000-0000-000000000000}">
      <formula1>"Да,Нет,Уточнить"</formula1>
    </dataValidation>
    <dataValidation type="list" sqref="H2:H23 I2:I24" xr:uid="{00000000-0002-0000-0000-000001000000}">
      <formula1>"Не проверено,Есть,Нет в наличии,Заказано,Куплено,Резерв,Есть на фабрике,Доступно на фабрике"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3.8"/>
  <cols>
    <col min="1" max="1" width="22" customWidth="1"/>
    <col min="2" max="2" width="85" customWidth="1"/>
  </cols>
  <sheetData>
    <row r="1" spans="1:4">
      <c r="A1" s="24" t="s">
        <v>6</v>
      </c>
      <c r="B1" s="24"/>
      <c r="C1" s="24"/>
      <c r="D1" s="24"/>
    </row>
    <row r="3" spans="1:4" ht="27.6">
      <c r="A3" s="4" t="s">
        <v>7</v>
      </c>
      <c r="B3" s="2" t="s">
        <v>8</v>
      </c>
    </row>
    <row r="4" spans="1:4" ht="27.6">
      <c r="A4" s="4" t="s">
        <v>9</v>
      </c>
      <c r="B4" s="2" t="s">
        <v>10</v>
      </c>
    </row>
    <row r="5" spans="1:4">
      <c r="A5" s="4" t="s">
        <v>11</v>
      </c>
      <c r="B5" s="2" t="s">
        <v>12</v>
      </c>
    </row>
    <row r="6" spans="1:4" ht="27.6">
      <c r="A6" s="4" t="s">
        <v>13</v>
      </c>
      <c r="B6" s="2" t="s">
        <v>14</v>
      </c>
    </row>
    <row r="7" spans="1:4" ht="27.6">
      <c r="A7" s="4" t="s">
        <v>15</v>
      </c>
      <c r="B7" s="2" t="s">
        <v>16</v>
      </c>
    </row>
    <row r="8" spans="1:4">
      <c r="A8" s="4" t="s">
        <v>17</v>
      </c>
      <c r="B8" s="2" t="s">
        <v>18</v>
      </c>
    </row>
    <row r="9" spans="1:4" ht="27.6">
      <c r="A9" s="4" t="s">
        <v>19</v>
      </c>
      <c r="B9" s="2" t="s">
        <v>20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</vt:lpstr>
      <vt:lpstr>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</dc:creator>
  <cp:lastModifiedBy>Дарья</cp:lastModifiedBy>
  <dcterms:created xsi:type="dcterms:W3CDTF">2026-09-12T18:54:41Z</dcterms:created>
  <dcterms:modified xsi:type="dcterms:W3CDTF">2026-09-12T18:54:41Z</dcterms:modified>
</cp:coreProperties>
</file>